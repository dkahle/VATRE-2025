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_kahle/Dropbox/"/>
    </mc:Choice>
  </mc:AlternateContent>
  <xr:revisionPtr revIDLastSave="0" documentId="13_ncr:1_{1205F644-738A-D147-81C2-44621DAADC1F}" xr6:coauthVersionLast="47" xr6:coauthVersionMax="47" xr10:uidLastSave="{00000000-0000-0000-0000-000000000000}"/>
  <bookViews>
    <workbookView xWindow="3260" yWindow="2160" windowWidth="28040" windowHeight="17440" xr2:uid="{A9F90DA4-5BAD-1649-8118-5147248C59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C23" i="1"/>
  <c r="D23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J15" i="1"/>
  <c r="J16" i="1"/>
  <c r="J17" i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5" i="1"/>
  <c r="F7" i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F17" i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5" i="1"/>
  <c r="G5" i="1" s="1"/>
  <c r="C6" i="1"/>
  <c r="D6" i="1" s="1"/>
  <c r="C7" i="1"/>
  <c r="D7" i="1" s="1"/>
  <c r="C8" i="1"/>
  <c r="D8" i="1" s="1"/>
  <c r="C9" i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C18" i="1"/>
  <c r="C19" i="1"/>
  <c r="D19" i="1" s="1"/>
  <c r="C20" i="1"/>
  <c r="D20" i="1" s="1"/>
  <c r="C21" i="1"/>
  <c r="D21" i="1" s="1"/>
  <c r="C22" i="1"/>
  <c r="D22" i="1" s="1"/>
  <c r="C5" i="1"/>
  <c r="D5" i="1" s="1"/>
  <c r="K14" i="1"/>
  <c r="K15" i="1"/>
  <c r="K5" i="1"/>
  <c r="G6" i="1"/>
  <c r="G16" i="1"/>
  <c r="D9" i="1"/>
  <c r="D17" i="1"/>
  <c r="K17" i="1"/>
  <c r="K16" i="1"/>
  <c r="G17" i="1"/>
  <c r="G7" i="1"/>
  <c r="D18" i="1"/>
  <c r="L6" i="1" l="1"/>
  <c r="H17" i="1"/>
  <c r="H16" i="1"/>
  <c r="L16" i="1"/>
  <c r="H14" i="1"/>
  <c r="H13" i="1"/>
  <c r="H18" i="1"/>
  <c r="H10" i="1"/>
  <c r="H9" i="1"/>
  <c r="H8" i="1"/>
  <c r="H7" i="1"/>
  <c r="L18" i="1"/>
  <c r="L17" i="1"/>
  <c r="N17" i="1" s="1"/>
  <c r="P17" i="1" s="1"/>
  <c r="H11" i="1"/>
  <c r="L11" i="1"/>
  <c r="H15" i="1"/>
  <c r="L15" i="1"/>
  <c r="N15" i="1" s="1"/>
  <c r="P15" i="1" s="1"/>
  <c r="H23" i="1"/>
  <c r="L23" i="1"/>
  <c r="N23" i="1" s="1"/>
  <c r="P23" i="1" s="1"/>
  <c r="H22" i="1"/>
  <c r="L22" i="1"/>
  <c r="H21" i="1"/>
  <c r="L21" i="1"/>
  <c r="H19" i="1"/>
  <c r="L19" i="1"/>
  <c r="H12" i="1"/>
  <c r="L12" i="1"/>
  <c r="N12" i="1" s="1"/>
  <c r="P12" i="1" s="1"/>
  <c r="H20" i="1"/>
  <c r="L20" i="1"/>
  <c r="N20" i="1" s="1"/>
  <c r="P20" i="1" s="1"/>
  <c r="H6" i="1"/>
  <c r="N6" i="1" s="1"/>
  <c r="P6" i="1" s="1"/>
  <c r="L8" i="1"/>
  <c r="L7" i="1"/>
  <c r="L14" i="1"/>
  <c r="L10" i="1"/>
  <c r="L13" i="1"/>
  <c r="L9" i="1"/>
  <c r="H5" i="1"/>
  <c r="L5" i="1"/>
  <c r="N5" i="1" s="1"/>
  <c r="P5" i="1" s="1"/>
  <c r="N7" i="1" l="1"/>
  <c r="P7" i="1" s="1"/>
  <c r="N18" i="1"/>
  <c r="P18" i="1" s="1"/>
  <c r="N8" i="1"/>
  <c r="P8" i="1" s="1"/>
  <c r="N19" i="1"/>
  <c r="P19" i="1" s="1"/>
  <c r="N13" i="1"/>
  <c r="P13" i="1" s="1"/>
  <c r="N11" i="1"/>
  <c r="P11" i="1" s="1"/>
  <c r="N14" i="1"/>
  <c r="P14" i="1" s="1"/>
  <c r="N16" i="1"/>
  <c r="P16" i="1" s="1"/>
  <c r="N9" i="1"/>
  <c r="P9" i="1" s="1"/>
  <c r="N21" i="1"/>
  <c r="P21" i="1" s="1"/>
  <c r="N10" i="1"/>
  <c r="P10" i="1" s="1"/>
  <c r="N22" i="1"/>
  <c r="P22" i="1" s="1"/>
</calcChain>
</file>

<file path=xl/sharedStrings.xml><?xml version="1.0" encoding="utf-8"?>
<sst xmlns="http://schemas.openxmlformats.org/spreadsheetml/2006/main" count="20" uniqueCount="14">
  <si>
    <t>Annual tax</t>
  </si>
  <si>
    <t>Monthly tax</t>
  </si>
  <si>
    <t>Monthly savings</t>
  </si>
  <si>
    <t>With VATRE (voting FOR)</t>
  </si>
  <si>
    <t>Without VATRE (voting AGAINST)</t>
  </si>
  <si>
    <t>State match</t>
  </si>
  <si>
    <t>Current tax</t>
  </si>
  <si>
    <t>Rate = 1.0185</t>
  </si>
  <si>
    <t>Rate = 0.98192</t>
  </si>
  <si>
    <t>Rate = 0.92192</t>
  </si>
  <si>
    <t>Your Home</t>
  </si>
  <si>
    <t>* Assumptions: Non-senior homestead exemption of $100k, state match projected 56/44</t>
  </si>
  <si>
    <t>Monthly</t>
  </si>
  <si>
    <t>VATRE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</si>
</sst>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D5517-7991-4143-B49A-ECA402A81FA5}">
  <dimension ref="A3:P24"/>
  <sheetViews>
    <sheetView tabSelected="1" workbookViewId="0">
      <selection activeCell="R11" sqref="A11:R11"/>
    </sheetView>
  </sheetViews>
  <sheetFormatPr baseColWidth="10" defaultRowHeight="16" x14ac:dyDescent="0.2"/>
  <cols>
    <col min="2" max="2" width="7.1640625" customWidth="1"/>
    <col min="4" max="4" width="11.83203125" customWidth="1"/>
    <col min="5" max="5" width="7.33203125" customWidth="1"/>
    <col min="8" max="8" width="13.5" customWidth="1"/>
    <col min="9" max="9" width="9" customWidth="1"/>
    <col min="11" max="11" width="15.6640625" customWidth="1"/>
    <col min="12" max="12" width="13.6640625" customWidth="1"/>
    <col min="13" max="13" width="5.1640625" customWidth="1"/>
    <col min="14" max="14" width="10.6640625" customWidth="1"/>
    <col min="15" max="15" width="8.1640625" customWidth="1"/>
  </cols>
  <sheetData>
    <row r="3" spans="1:16" x14ac:dyDescent="0.2">
      <c r="C3" t="s">
        <v>6</v>
      </c>
      <c r="D3" t="s">
        <v>7</v>
      </c>
      <c r="F3" t="s">
        <v>3</v>
      </c>
      <c r="H3" t="s">
        <v>8</v>
      </c>
      <c r="J3" t="s">
        <v>4</v>
      </c>
      <c r="L3" t="s">
        <v>9</v>
      </c>
      <c r="N3" t="s">
        <v>12</v>
      </c>
      <c r="P3" t="s">
        <v>12</v>
      </c>
    </row>
    <row r="4" spans="1:16" x14ac:dyDescent="0.2">
      <c r="A4" t="s">
        <v>10</v>
      </c>
      <c r="C4" t="s">
        <v>0</v>
      </c>
      <c r="D4" t="s">
        <v>1</v>
      </c>
      <c r="F4" t="s">
        <v>0</v>
      </c>
      <c r="G4" t="s">
        <v>1</v>
      </c>
      <c r="H4" t="s">
        <v>2</v>
      </c>
      <c r="J4" t="s">
        <v>0</v>
      </c>
      <c r="K4" t="s">
        <v>1</v>
      </c>
      <c r="L4" t="s">
        <v>2</v>
      </c>
      <c r="N4" t="s">
        <v>13</v>
      </c>
      <c r="P4" t="s">
        <v>5</v>
      </c>
    </row>
    <row r="5" spans="1:16" x14ac:dyDescent="0.2">
      <c r="A5" s="2">
        <v>100000</v>
      </c>
      <c r="B5" s="2"/>
      <c r="C5" s="2">
        <f>(A5-100000)/100*1.0185</f>
        <v>0</v>
      </c>
      <c r="D5" s="2">
        <f>C5/12</f>
        <v>0</v>
      </c>
      <c r="F5" s="2">
        <f>(A5-100000)/100*0.98192</f>
        <v>0</v>
      </c>
      <c r="G5" s="2">
        <f>F5/12</f>
        <v>0</v>
      </c>
      <c r="H5" s="1">
        <f>D5-G5</f>
        <v>0</v>
      </c>
      <c r="J5" s="2">
        <f>(A5-100000)/100*0.92192</f>
        <v>0</v>
      </c>
      <c r="K5" s="2">
        <f>J5/12</f>
        <v>0</v>
      </c>
      <c r="L5" s="1">
        <f>D5-K5</f>
        <v>0</v>
      </c>
      <c r="N5" s="1">
        <f t="shared" ref="N5:N23" si="0">L5-H5</f>
        <v>0</v>
      </c>
      <c r="O5" s="1"/>
      <c r="P5" s="1">
        <f>N5*0.56/0.44</f>
        <v>0</v>
      </c>
    </row>
    <row r="6" spans="1:16" x14ac:dyDescent="0.2">
      <c r="A6" s="2">
        <v>150000</v>
      </c>
      <c r="B6" s="2"/>
      <c r="C6" s="2">
        <f t="shared" ref="C6:C22" si="1">(A6-100000)/100*1.0185</f>
        <v>509.25</v>
      </c>
      <c r="D6" s="2">
        <f t="shared" ref="D6:D23" si="2">C6/12</f>
        <v>42.4375</v>
      </c>
      <c r="F6" s="2">
        <f t="shared" ref="F6:F23" si="3">(A6-100000)/100*0.98192</f>
        <v>490.96</v>
      </c>
      <c r="G6" s="2">
        <f t="shared" ref="G6:G23" si="4">F6/12</f>
        <v>40.913333333333334</v>
      </c>
      <c r="H6" s="1">
        <f t="shared" ref="H6:H23" si="5">D6-G6</f>
        <v>1.524166666666666</v>
      </c>
      <c r="J6" s="2">
        <f t="shared" ref="J6:J23" si="6">(A6-100000)/100*0.92192</f>
        <v>460.96</v>
      </c>
      <c r="K6" s="2">
        <f t="shared" ref="K6:K23" si="7">J6/12</f>
        <v>38.413333333333334</v>
      </c>
      <c r="L6" s="1">
        <f t="shared" ref="L6:L23" si="8">D6-K6</f>
        <v>4.024166666666666</v>
      </c>
      <c r="N6" s="1">
        <f t="shared" si="0"/>
        <v>2.5</v>
      </c>
      <c r="O6" s="1"/>
      <c r="P6" s="1">
        <f t="shared" ref="P6:P23" si="9">N6*0.56/0.44</f>
        <v>3.1818181818181821</v>
      </c>
    </row>
    <row r="7" spans="1:16" x14ac:dyDescent="0.2">
      <c r="A7" s="2">
        <v>200000</v>
      </c>
      <c r="B7" s="2"/>
      <c r="C7" s="2">
        <f t="shared" si="1"/>
        <v>1018.5</v>
      </c>
      <c r="D7" s="2">
        <f t="shared" si="2"/>
        <v>84.875</v>
      </c>
      <c r="F7" s="2">
        <f t="shared" si="3"/>
        <v>981.92</v>
      </c>
      <c r="G7" s="2">
        <f t="shared" si="4"/>
        <v>81.826666666666668</v>
      </c>
      <c r="H7" s="1">
        <f t="shared" si="5"/>
        <v>3.048333333333332</v>
      </c>
      <c r="J7" s="2">
        <f t="shared" si="6"/>
        <v>921.92</v>
      </c>
      <c r="K7" s="2">
        <f t="shared" si="7"/>
        <v>76.826666666666668</v>
      </c>
      <c r="L7" s="1">
        <f t="shared" si="8"/>
        <v>8.048333333333332</v>
      </c>
      <c r="N7" s="1">
        <f t="shared" si="0"/>
        <v>5</v>
      </c>
      <c r="O7" s="1"/>
      <c r="P7" s="1">
        <f t="shared" si="9"/>
        <v>6.3636363636363642</v>
      </c>
    </row>
    <row r="8" spans="1:16" x14ac:dyDescent="0.2">
      <c r="A8" s="2">
        <v>250000</v>
      </c>
      <c r="B8" s="2"/>
      <c r="C8" s="2">
        <f t="shared" si="1"/>
        <v>1527.75</v>
      </c>
      <c r="D8" s="2">
        <f t="shared" si="2"/>
        <v>127.3125</v>
      </c>
      <c r="F8" s="2">
        <f t="shared" si="3"/>
        <v>1472.88</v>
      </c>
      <c r="G8" s="2">
        <f t="shared" si="4"/>
        <v>122.74000000000001</v>
      </c>
      <c r="H8" s="1">
        <f t="shared" si="5"/>
        <v>4.5724999999999909</v>
      </c>
      <c r="J8" s="2">
        <f t="shared" si="6"/>
        <v>1382.8799999999999</v>
      </c>
      <c r="K8" s="2">
        <f t="shared" si="7"/>
        <v>115.24</v>
      </c>
      <c r="L8" s="1">
        <f t="shared" si="8"/>
        <v>12.072500000000005</v>
      </c>
      <c r="N8" s="1">
        <f t="shared" si="0"/>
        <v>7.5000000000000142</v>
      </c>
      <c r="O8" s="1"/>
      <c r="P8" s="1">
        <f t="shared" si="9"/>
        <v>9.5454545454545645</v>
      </c>
    </row>
    <row r="9" spans="1:16" x14ac:dyDescent="0.2">
      <c r="A9" s="2">
        <v>300000</v>
      </c>
      <c r="B9" s="2"/>
      <c r="C9" s="2">
        <f t="shared" si="1"/>
        <v>2037</v>
      </c>
      <c r="D9" s="2">
        <f t="shared" si="2"/>
        <v>169.75</v>
      </c>
      <c r="F9" s="2">
        <f t="shared" si="3"/>
        <v>1963.84</v>
      </c>
      <c r="G9" s="2">
        <f t="shared" si="4"/>
        <v>163.65333333333334</v>
      </c>
      <c r="H9" s="1">
        <f t="shared" si="5"/>
        <v>6.096666666666664</v>
      </c>
      <c r="J9" s="2">
        <f t="shared" si="6"/>
        <v>1843.84</v>
      </c>
      <c r="K9" s="2">
        <f t="shared" si="7"/>
        <v>153.65333333333334</v>
      </c>
      <c r="L9" s="1">
        <f t="shared" si="8"/>
        <v>16.096666666666664</v>
      </c>
      <c r="N9" s="1">
        <f t="shared" si="0"/>
        <v>10</v>
      </c>
      <c r="O9" s="1"/>
      <c r="P9" s="1">
        <f t="shared" si="9"/>
        <v>12.727272727272728</v>
      </c>
    </row>
    <row r="10" spans="1:16" x14ac:dyDescent="0.2">
      <c r="A10" s="2">
        <v>350000</v>
      </c>
      <c r="B10" s="2"/>
      <c r="C10" s="2">
        <f t="shared" si="1"/>
        <v>2546.25</v>
      </c>
      <c r="D10" s="2">
        <f t="shared" si="2"/>
        <v>212.1875</v>
      </c>
      <c r="F10" s="2">
        <f t="shared" si="3"/>
        <v>2454.8000000000002</v>
      </c>
      <c r="G10" s="2">
        <f t="shared" si="4"/>
        <v>204.56666666666669</v>
      </c>
      <c r="H10" s="1">
        <f t="shared" si="5"/>
        <v>7.6208333333333087</v>
      </c>
      <c r="J10" s="2">
        <f t="shared" si="6"/>
        <v>2304.7999999999997</v>
      </c>
      <c r="K10" s="2">
        <f t="shared" si="7"/>
        <v>192.06666666666663</v>
      </c>
      <c r="L10" s="1">
        <f t="shared" si="8"/>
        <v>20.120833333333366</v>
      </c>
      <c r="N10" s="1">
        <f t="shared" si="0"/>
        <v>12.500000000000057</v>
      </c>
      <c r="O10" s="1"/>
      <c r="P10" s="1">
        <f t="shared" si="9"/>
        <v>15.909090909090983</v>
      </c>
    </row>
    <row r="11" spans="1:16" x14ac:dyDescent="0.2">
      <c r="A11" s="2">
        <v>400000</v>
      </c>
      <c r="B11" s="2"/>
      <c r="C11" s="2">
        <f t="shared" si="1"/>
        <v>3055.5</v>
      </c>
      <c r="D11" s="2">
        <f t="shared" si="2"/>
        <v>254.625</v>
      </c>
      <c r="F11" s="2">
        <f t="shared" si="3"/>
        <v>2945.76</v>
      </c>
      <c r="G11" s="2">
        <f t="shared" si="4"/>
        <v>245.48000000000002</v>
      </c>
      <c r="H11" s="1">
        <f t="shared" si="5"/>
        <v>9.1449999999999818</v>
      </c>
      <c r="J11" s="2">
        <f t="shared" si="6"/>
        <v>2765.7599999999998</v>
      </c>
      <c r="K11" s="2">
        <f t="shared" si="7"/>
        <v>230.48</v>
      </c>
      <c r="L11" s="1">
        <f t="shared" si="8"/>
        <v>24.14500000000001</v>
      </c>
      <c r="N11" s="1">
        <f t="shared" si="0"/>
        <v>15.000000000000028</v>
      </c>
      <c r="O11" s="1"/>
      <c r="P11" s="1">
        <f t="shared" si="9"/>
        <v>19.090909090909129</v>
      </c>
    </row>
    <row r="12" spans="1:16" x14ac:dyDescent="0.2">
      <c r="A12" s="2">
        <v>450000</v>
      </c>
      <c r="B12" s="2"/>
      <c r="C12" s="2">
        <f t="shared" si="1"/>
        <v>3564.75</v>
      </c>
      <c r="D12" s="2">
        <f t="shared" si="2"/>
        <v>297.0625</v>
      </c>
      <c r="F12" s="2">
        <f t="shared" si="3"/>
        <v>3436.7200000000003</v>
      </c>
      <c r="G12" s="2">
        <f t="shared" si="4"/>
        <v>286.39333333333337</v>
      </c>
      <c r="H12" s="1">
        <f t="shared" si="5"/>
        <v>10.669166666666626</v>
      </c>
      <c r="J12" s="2">
        <f t="shared" si="6"/>
        <v>3226.72</v>
      </c>
      <c r="K12" s="2">
        <f t="shared" si="7"/>
        <v>268.89333333333332</v>
      </c>
      <c r="L12" s="1">
        <f t="shared" si="8"/>
        <v>28.169166666666683</v>
      </c>
      <c r="N12" s="1">
        <f t="shared" si="0"/>
        <v>17.500000000000057</v>
      </c>
      <c r="O12" s="1"/>
      <c r="P12" s="1">
        <f t="shared" si="9"/>
        <v>22.272727272727348</v>
      </c>
    </row>
    <row r="13" spans="1:16" x14ac:dyDescent="0.2">
      <c r="A13" s="2">
        <v>500000</v>
      </c>
      <c r="B13" s="2"/>
      <c r="C13" s="2">
        <f t="shared" si="1"/>
        <v>4074</v>
      </c>
      <c r="D13" s="2">
        <f t="shared" si="2"/>
        <v>339.5</v>
      </c>
      <c r="F13" s="2">
        <f t="shared" si="3"/>
        <v>3927.68</v>
      </c>
      <c r="G13" s="2">
        <f t="shared" si="4"/>
        <v>327.30666666666667</v>
      </c>
      <c r="H13" s="1">
        <f t="shared" si="5"/>
        <v>12.193333333333328</v>
      </c>
      <c r="J13" s="2">
        <f t="shared" si="6"/>
        <v>3687.68</v>
      </c>
      <c r="K13" s="2">
        <f t="shared" si="7"/>
        <v>307.30666666666667</v>
      </c>
      <c r="L13" s="1">
        <f t="shared" si="8"/>
        <v>32.193333333333328</v>
      </c>
      <c r="N13" s="1">
        <f t="shared" si="0"/>
        <v>20</v>
      </c>
      <c r="O13" s="1"/>
      <c r="P13" s="1">
        <f t="shared" si="9"/>
        <v>25.454545454545457</v>
      </c>
    </row>
    <row r="14" spans="1:16" x14ac:dyDescent="0.2">
      <c r="A14" s="2">
        <v>550000</v>
      </c>
      <c r="B14" s="2"/>
      <c r="C14" s="2">
        <f t="shared" si="1"/>
        <v>4583.25</v>
      </c>
      <c r="D14" s="2">
        <f t="shared" si="2"/>
        <v>381.9375</v>
      </c>
      <c r="F14" s="2">
        <f t="shared" si="3"/>
        <v>4418.6400000000003</v>
      </c>
      <c r="G14" s="2">
        <f t="shared" si="4"/>
        <v>368.22</v>
      </c>
      <c r="H14" s="1">
        <f t="shared" si="5"/>
        <v>13.717499999999973</v>
      </c>
      <c r="J14" s="2">
        <f t="shared" si="6"/>
        <v>4148.6399999999994</v>
      </c>
      <c r="K14" s="2">
        <f t="shared" si="7"/>
        <v>345.71999999999997</v>
      </c>
      <c r="L14" s="1">
        <f t="shared" si="8"/>
        <v>36.21750000000003</v>
      </c>
      <c r="N14" s="1">
        <f t="shared" si="0"/>
        <v>22.500000000000057</v>
      </c>
      <c r="O14" s="1"/>
      <c r="P14" s="1">
        <f t="shared" si="9"/>
        <v>28.636363636363711</v>
      </c>
    </row>
    <row r="15" spans="1:16" x14ac:dyDescent="0.2">
      <c r="A15" s="2">
        <v>600000</v>
      </c>
      <c r="B15" s="2"/>
      <c r="C15" s="2">
        <f t="shared" si="1"/>
        <v>5092.5</v>
      </c>
      <c r="D15" s="2">
        <f t="shared" si="2"/>
        <v>424.375</v>
      </c>
      <c r="F15" s="2">
        <f t="shared" si="3"/>
        <v>4909.6000000000004</v>
      </c>
      <c r="G15" s="2">
        <f t="shared" si="4"/>
        <v>409.13333333333338</v>
      </c>
      <c r="H15" s="1">
        <f t="shared" si="5"/>
        <v>15.241666666666617</v>
      </c>
      <c r="J15" s="2">
        <f t="shared" si="6"/>
        <v>4609.5999999999995</v>
      </c>
      <c r="K15" s="2">
        <f t="shared" si="7"/>
        <v>384.13333333333327</v>
      </c>
      <c r="L15" s="1">
        <f t="shared" si="8"/>
        <v>40.241666666666731</v>
      </c>
      <c r="N15" s="1">
        <f t="shared" si="0"/>
        <v>25.000000000000114</v>
      </c>
      <c r="O15" s="1"/>
      <c r="P15" s="1">
        <f t="shared" si="9"/>
        <v>31.818181818181966</v>
      </c>
    </row>
    <row r="16" spans="1:16" x14ac:dyDescent="0.2">
      <c r="A16" s="2">
        <v>650000</v>
      </c>
      <c r="B16" s="2"/>
      <c r="C16" s="2">
        <f t="shared" si="1"/>
        <v>5601.75</v>
      </c>
      <c r="D16" s="2">
        <f t="shared" si="2"/>
        <v>466.8125</v>
      </c>
      <c r="F16" s="2">
        <f t="shared" si="3"/>
        <v>5400.56</v>
      </c>
      <c r="G16" s="2">
        <f t="shared" si="4"/>
        <v>450.04666666666668</v>
      </c>
      <c r="H16" s="1">
        <f t="shared" si="5"/>
        <v>16.765833333333319</v>
      </c>
      <c r="J16" s="2">
        <f t="shared" si="6"/>
        <v>5070.5599999999995</v>
      </c>
      <c r="K16" s="2">
        <f t="shared" si="7"/>
        <v>422.54666666666662</v>
      </c>
      <c r="L16" s="1">
        <f t="shared" si="8"/>
        <v>44.265833333333376</v>
      </c>
      <c r="N16" s="1">
        <f t="shared" si="0"/>
        <v>27.500000000000057</v>
      </c>
      <c r="O16" s="1"/>
      <c r="P16" s="1">
        <f t="shared" si="9"/>
        <v>35.000000000000078</v>
      </c>
    </row>
    <row r="17" spans="1:16" x14ac:dyDescent="0.2">
      <c r="A17" s="2">
        <v>700000</v>
      </c>
      <c r="B17" s="2"/>
      <c r="C17" s="2">
        <f t="shared" si="1"/>
        <v>6111</v>
      </c>
      <c r="D17" s="2">
        <f t="shared" si="2"/>
        <v>509.25</v>
      </c>
      <c r="F17" s="2">
        <f t="shared" si="3"/>
        <v>5891.52</v>
      </c>
      <c r="G17" s="2">
        <f t="shared" si="4"/>
        <v>490.96000000000004</v>
      </c>
      <c r="H17" s="1">
        <f t="shared" si="5"/>
        <v>18.289999999999964</v>
      </c>
      <c r="J17" s="2">
        <f t="shared" si="6"/>
        <v>5531.5199999999995</v>
      </c>
      <c r="K17" s="2">
        <f t="shared" si="7"/>
        <v>460.96</v>
      </c>
      <c r="L17" s="1">
        <f t="shared" si="8"/>
        <v>48.29000000000002</v>
      </c>
      <c r="N17" s="1">
        <f t="shared" si="0"/>
        <v>30.000000000000057</v>
      </c>
      <c r="O17" s="1"/>
      <c r="P17" s="1">
        <f t="shared" si="9"/>
        <v>38.181818181818258</v>
      </c>
    </row>
    <row r="18" spans="1:16" x14ac:dyDescent="0.2">
      <c r="A18" s="2">
        <v>750000</v>
      </c>
      <c r="B18" s="2"/>
      <c r="C18" s="2">
        <f t="shared" si="1"/>
        <v>6620.25</v>
      </c>
      <c r="D18" s="2">
        <f t="shared" si="2"/>
        <v>551.6875</v>
      </c>
      <c r="F18" s="2">
        <f t="shared" si="3"/>
        <v>6382.4800000000005</v>
      </c>
      <c r="G18" s="2">
        <f t="shared" si="4"/>
        <v>531.87333333333333</v>
      </c>
      <c r="H18" s="1">
        <f t="shared" si="5"/>
        <v>19.814166666666665</v>
      </c>
      <c r="J18" s="2">
        <f t="shared" si="6"/>
        <v>5992.48</v>
      </c>
      <c r="K18" s="2">
        <f t="shared" si="7"/>
        <v>499.37333333333328</v>
      </c>
      <c r="L18" s="1">
        <f t="shared" si="8"/>
        <v>52.314166666666722</v>
      </c>
      <c r="N18" s="1">
        <f t="shared" si="0"/>
        <v>32.500000000000057</v>
      </c>
      <c r="O18" s="1"/>
      <c r="P18" s="1">
        <f t="shared" si="9"/>
        <v>41.363636363636445</v>
      </c>
    </row>
    <row r="19" spans="1:16" x14ac:dyDescent="0.2">
      <c r="A19" s="2">
        <v>800000</v>
      </c>
      <c r="B19" s="2"/>
      <c r="C19" s="2">
        <f t="shared" si="1"/>
        <v>7129.5</v>
      </c>
      <c r="D19" s="2">
        <f t="shared" si="2"/>
        <v>594.125</v>
      </c>
      <c r="F19" s="2">
        <f t="shared" si="3"/>
        <v>6873.4400000000005</v>
      </c>
      <c r="G19" s="2">
        <f t="shared" si="4"/>
        <v>572.78666666666675</v>
      </c>
      <c r="H19" s="1">
        <f t="shared" si="5"/>
        <v>21.338333333333253</v>
      </c>
      <c r="J19" s="2">
        <f t="shared" si="6"/>
        <v>6453.44</v>
      </c>
      <c r="K19" s="2">
        <f t="shared" si="7"/>
        <v>537.78666666666663</v>
      </c>
      <c r="L19" s="1">
        <f t="shared" si="8"/>
        <v>56.338333333333367</v>
      </c>
      <c r="N19" s="1">
        <f t="shared" si="0"/>
        <v>35.000000000000114</v>
      </c>
      <c r="O19" s="1"/>
      <c r="P19" s="1">
        <f t="shared" si="9"/>
        <v>44.545454545454696</v>
      </c>
    </row>
    <row r="20" spans="1:16" x14ac:dyDescent="0.2">
      <c r="A20" s="2">
        <v>850000</v>
      </c>
      <c r="B20" s="2"/>
      <c r="C20" s="2">
        <f t="shared" si="1"/>
        <v>7638.75</v>
      </c>
      <c r="D20" s="2">
        <f t="shared" si="2"/>
        <v>636.5625</v>
      </c>
      <c r="F20" s="2">
        <f t="shared" si="3"/>
        <v>7364.4000000000005</v>
      </c>
      <c r="G20" s="2">
        <f t="shared" si="4"/>
        <v>613.70000000000005</v>
      </c>
      <c r="H20" s="1">
        <f t="shared" si="5"/>
        <v>22.862499999999955</v>
      </c>
      <c r="J20" s="2">
        <f t="shared" si="6"/>
        <v>6914.4</v>
      </c>
      <c r="K20" s="2">
        <f t="shared" si="7"/>
        <v>576.19999999999993</v>
      </c>
      <c r="L20" s="1">
        <f t="shared" si="8"/>
        <v>60.362500000000068</v>
      </c>
      <c r="N20" s="1">
        <f t="shared" si="0"/>
        <v>37.500000000000114</v>
      </c>
      <c r="O20" s="1"/>
      <c r="P20" s="1">
        <f t="shared" si="9"/>
        <v>47.727272727272876</v>
      </c>
    </row>
    <row r="21" spans="1:16" x14ac:dyDescent="0.2">
      <c r="A21" s="2">
        <v>900000</v>
      </c>
      <c r="B21" s="2"/>
      <c r="C21" s="2">
        <f t="shared" si="1"/>
        <v>8148</v>
      </c>
      <c r="D21" s="2">
        <f t="shared" si="2"/>
        <v>679</v>
      </c>
      <c r="F21" s="2">
        <f t="shared" si="3"/>
        <v>7855.36</v>
      </c>
      <c r="G21" s="2">
        <f t="shared" si="4"/>
        <v>654.61333333333334</v>
      </c>
      <c r="H21" s="1">
        <f t="shared" si="5"/>
        <v>24.386666666666656</v>
      </c>
      <c r="J21" s="2">
        <f t="shared" si="6"/>
        <v>7375.36</v>
      </c>
      <c r="K21" s="2">
        <f t="shared" si="7"/>
        <v>614.61333333333334</v>
      </c>
      <c r="L21" s="1">
        <f t="shared" si="8"/>
        <v>64.386666666666656</v>
      </c>
      <c r="N21" s="1">
        <f t="shared" si="0"/>
        <v>40</v>
      </c>
      <c r="O21" s="1"/>
      <c r="P21" s="1">
        <f t="shared" si="9"/>
        <v>50.909090909090914</v>
      </c>
    </row>
    <row r="22" spans="1:16" x14ac:dyDescent="0.2">
      <c r="A22" s="2">
        <v>950000</v>
      </c>
      <c r="B22" s="2"/>
      <c r="C22" s="2">
        <f t="shared" si="1"/>
        <v>8657.25</v>
      </c>
      <c r="D22" s="2">
        <f t="shared" si="2"/>
        <v>721.4375</v>
      </c>
      <c r="F22" s="2">
        <f t="shared" si="3"/>
        <v>8346.32</v>
      </c>
      <c r="G22" s="2">
        <f t="shared" si="4"/>
        <v>695.52666666666664</v>
      </c>
      <c r="H22" s="1">
        <f t="shared" si="5"/>
        <v>25.910833333333358</v>
      </c>
      <c r="J22" s="2">
        <f t="shared" si="6"/>
        <v>7836.32</v>
      </c>
      <c r="K22" s="2">
        <f t="shared" si="7"/>
        <v>653.02666666666664</v>
      </c>
      <c r="L22" s="1">
        <f t="shared" si="8"/>
        <v>68.410833333333358</v>
      </c>
      <c r="N22" s="1">
        <f t="shared" si="0"/>
        <v>42.5</v>
      </c>
      <c r="O22" s="1"/>
      <c r="P22" s="1">
        <f t="shared" si="9"/>
        <v>54.090909090909093</v>
      </c>
    </row>
    <row r="23" spans="1:16" x14ac:dyDescent="0.2">
      <c r="A23" s="2">
        <v>1000000</v>
      </c>
      <c r="B23" s="2"/>
      <c r="C23" s="2">
        <f>(A23-100000)/100*1.0185</f>
        <v>9166.5</v>
      </c>
      <c r="D23" s="2">
        <f t="shared" si="2"/>
        <v>763.875</v>
      </c>
      <c r="F23" s="2">
        <f t="shared" si="3"/>
        <v>8837.2800000000007</v>
      </c>
      <c r="G23" s="2">
        <f t="shared" si="4"/>
        <v>736.44</v>
      </c>
      <c r="H23" s="1">
        <f t="shared" si="5"/>
        <v>27.434999999999945</v>
      </c>
      <c r="J23" s="2">
        <f t="shared" si="6"/>
        <v>8297.2799999999988</v>
      </c>
      <c r="K23" s="2">
        <f t="shared" si="7"/>
        <v>691.43999999999994</v>
      </c>
      <c r="L23" s="1">
        <f t="shared" si="8"/>
        <v>72.435000000000059</v>
      </c>
      <c r="N23" s="1">
        <f t="shared" si="0"/>
        <v>45.000000000000114</v>
      </c>
      <c r="O23" s="1"/>
      <c r="P23" s="1">
        <f t="shared" si="9"/>
        <v>57.272727272727423</v>
      </c>
    </row>
    <row r="24" spans="1:16" x14ac:dyDescent="0.2">
      <c r="C2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Kahle, David</dc:creator>
  <cp:lastModifiedBy>Kahle, David</cp:lastModifiedBy>
  <dcterms:created xsi:type="dcterms:W3CDTF">2025-10-23T03:28:21Z</dcterms:created>
  <dcterms:modified xsi:type="dcterms:W3CDTF">2025-10-30T14:07:06Z</dcterms:modified>
</cp:coreProperties>
</file>